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muel Davi\Downloads\"/>
    </mc:Choice>
  </mc:AlternateContent>
  <xr:revisionPtr revIDLastSave="0" documentId="13_ncr:1_{B423999C-4CFE-4B56-A685-C8116AAA44C7}" xr6:coauthVersionLast="47" xr6:coauthVersionMax="47" xr10:uidLastSave="{00000000-0000-0000-0000-000000000000}"/>
  <bookViews>
    <workbookView xWindow="-120" yWindow="-120" windowWidth="26640" windowHeight="1437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3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<sst xmlns="http://schemas.openxmlformats.org/spreadsheetml/2006/main" count="2022" uniqueCount="326">
  <si>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</si>
  <si>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</si>
  <si>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</si>
  <si>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</si>
  <si>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</si>
  <si>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</si>
  <si>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</si>
  <si>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</si>
  <si>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</si>
  <si>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</si>
  <si>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</si>
  <si>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</si>
  <si>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</si>
  <si>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</si>
  <si>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</si>
  <si>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</si>
  <si>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</si>
  <si>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</si>
  <si>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</si>
  <si>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</si>
  <si>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</si>
  <si>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</si>
  <si>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</si>
  <si>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</si>
  <si>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</si>
  <si>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</si>
  <si>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</si>
  <si>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</si>
  <si>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</si>
  <si>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</si>
  <si>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</si>
  <si>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</si>
  <si>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</si>
  <si>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</si>
  <si>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</si>
  <si>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</si>
  <si>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</si>
  <si>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</si>
  <si>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</si>
  <si>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</si>
  <si>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</si>
  <si>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</si>
  <si>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</si>
  <si>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</si>
  <si>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</si>
  <si>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</si>
  <si>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</si>
  <si>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</si>
  <si>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</si>
  <si>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</si>
  <si>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</si>
  <si>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</si>
  <si>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</si>
  <si>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</si>
  <si>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</si>
  <si>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</si>
  <si>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</si>
  <si>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</si>
  <si>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</si>
  <si>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</si>
  <si>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</si>
  <si>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</si>
  <si>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</si>
  <si>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</si>
  <si>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</si>
  <si>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</si>
  <si>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</si>
  <si>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</si>
  <si>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</si>
  <si>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</si>
  <si>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</si>
  <si>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</si>
  <si>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</si>
  <si>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</si>
  <si>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</si>
  <si>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</si>
  <si>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</si>
  <si>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</si>
  <si>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</si>
  <si>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</si>
  <si>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</si>
  <si>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</si>
  <si>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</si>
  <si>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</si>
  <si>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</si>
  <si>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</si>
  <si>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</si>
  <si>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</si>
  <si>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</si>
  <si>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</si>
  <si>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</si>
  <si>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</si>
  <si>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</si>
  <si>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</si>
  <si>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</si>
  <si>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</si>
  <si>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</si>
  <si>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</si>
  <si>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</si>
  <si>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</si>
  <si>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</si>
  <si>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</si>
  <si>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</si>
  <si>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</si>
  <si>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</si>
  <si>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</si>
  <si>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</si>
  <si>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</si>
  <si>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</si>
  <si>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</si>
  <si>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</si>
  <si>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</si>
  <si>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</si>
  <si>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</si>
  <si>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</si>
  <si>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</si>
  <si>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</si>
  <si>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</si>
  <si>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</si>
  <si>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</si>
  <si>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</si>
  <si>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</si>
  <si>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</si>
  <si>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</si>
  <si>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</si>
  <si>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</si>
  <si>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</si>
  <si>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</si>
  <si>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</si>
  <si>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</si>
  <si>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</si>
  <si>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</si>
  <si>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</si>
  <si>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</si>
  <si>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</si>
  <si>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</si>
  <si>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</si>
  <si>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</si>
  <si>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</si>
  <si>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</si>
  <si>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</si>
  <si>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</si>
  <si>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</si>
  <si>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</si>
  <si>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</si>
  <si>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</si>
  <si>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</si>
  <si>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</si>
  <si>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</si>
  <si>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</si>
  <si>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</si>
  <si>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</si>
  <si>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</si>
  <si>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</si>
  <si>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</si>
  <si>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</si>
  <si>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</si>
  <si>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</si>
  <si>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</si>
  <si>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</si>
  <si>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</si>
  <si>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</si>
  <si>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</si>
  <si>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</si>
  <si>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</si>
  <si>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</si>
  <si>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</si>
  <si>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</si>
  <si>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</si>
  <si>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</si>
  <si>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</si>
  <si>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</si>
  <si>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</si>
  <si>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</si>
  <si>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</si>
  <si>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</si>
  <si>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</si>
  <si>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</si>
  <si>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</si>
  <si>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</si>
  <si>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</si>
  <si>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</si>
  <si>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</si>
  <si>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</si>
  <si>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</si>
  <si>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</si>
  <si>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</si>
  <si>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</si>
  <si>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</si>
  <si>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</si>
  <si>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</si>
  <si>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</si>
  <si>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</si>
  <si>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</si>
  <si>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</si>
  <si>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</si>
  <si>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</si>
  <si>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</si>
  <si>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</si>
  <si>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</si>
  <si>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</si>
  <si>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</si>
  <si>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</si>
  <si>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</si>
  <si>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</si>
  <si>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</si>
  <si>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</si>
  <si>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</si>
  <si>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</si>
  <si>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</si>
  <si>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</si>
  <si>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</si>
  <si>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</si>
  <si>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</si>
  <si>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</si>
  <si>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</si>
  <si>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</si>
  <si>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</si>
  <si>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</si>
  <si>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</si>
  <si>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</si>
  <si>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</si>
  <si>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</si>
  <si>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</si>
  <si>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</si>
  <si>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</si>
  <si>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</si>
  <si>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</si>
  <si>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</si>
  <si>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</si>
  <si>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</si>
  <si>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</si>
  <si>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</si>
  <si>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</si>
  <si>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</si>
  <si>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</si>
  <si>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</si>
  <si>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</si>
  <si>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</si>
  <si>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</si>
  <si>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</si>
  <si>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</si>
  <si>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</si>
  <si>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</si>
  <si>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</si>
  <si>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</si>
  <si>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</si>
  <si>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</si>
  <si>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</si>
  <si>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</si>
  <si>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</si>
  <si>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</si>
  <si>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</si>
  <si>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</si>
  <si>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</si>
  <si>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</si>
  <si>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</si>
  <si>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</si>
  <si>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</si>
  <si>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</si>
  <si>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</si>
  <si>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</si>
  <si>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</si>
  <si>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</si>
  <si>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</si>
  <si>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</si>
  <si>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</si>
  <si>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</si>
  <si>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</si>
  <si>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</si>
  <si>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</si>
  <si>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</si>
  <si>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</si>
  <si>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</si>
  <si>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</si>
  <si>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</si>
  <si>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</si>
  <si>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</si>
  <si>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</si>
  <si>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</si>
  <si>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</si>
  <si>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</si>
  <si>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</si>
  <si>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</si>
  <si>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</si>
  <si>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</si>
  <si>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</si>
  <si>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</si>
  <si>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</si>
  <si>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</si>
  <si>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</si>
  <si>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</si>
  <si>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</si>
  <si>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</si>
  <si>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</si>
  <si>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</si>
  <si>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</si>
  <si>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</si>
  <si>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</si>
  <si>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</si>
  <si>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</si>
  <si>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</si>
  <si>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</si>
  <si>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</si>
  <si>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</si>
  <si>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</si>
  <si>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</si>
  <si>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</si>
  <si>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 Qual faturamento total de venda de planos anuais (contendo todas as assinaturas agregadas)</t>
  </si>
  <si>
    <t>(Tudo)</t>
  </si>
  <si>
    <t>Rótulos de Linha</t>
  </si>
  <si>
    <t>Total Geral</t>
  </si>
  <si>
    <t>Soma de Total Value</t>
  </si>
  <si>
    <t>Pergunta de Negócio 2 - Qual faturamento total de vendas de planos anuais, separado por auto renovação ou não é por auto renovação</t>
  </si>
  <si>
    <t>#2AE6B1</t>
  </si>
  <si>
    <t>#5BF6A8</t>
  </si>
  <si>
    <t>#9BC848</t>
  </si>
  <si>
    <t>#22C55E</t>
  </si>
  <si>
    <t>#E8E6E9</t>
  </si>
  <si>
    <t>XBOX GAME PASS SUBSCRIPTIONS SALES</t>
  </si>
  <si>
    <t>Pergunta de Negócio 3 - Total de vendas de assinaturas do EA Play</t>
  </si>
  <si>
    <t>Soma de EA Play Season Pass</t>
  </si>
  <si>
    <t xml:space="preserve"> </t>
  </si>
  <si>
    <t>Soma de Minecraft Season Pass Price</t>
  </si>
  <si>
    <r>
      <t>&gt; Bem vindo, Sergio</t>
    </r>
    <r>
      <rPr>
        <sz val="14"/>
        <rFont val="RobotoMono Nerd Font"/>
        <family val="3"/>
      </rPr>
      <t>!</t>
    </r>
  </si>
  <si>
    <t>Calculation Period: 01/01/2025 - 31/12/2025 | Update Date: 15/02/2026 23:09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</si>
</sst>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4"/>
      <name val="Aptos Narrow"/>
      <family val="2"/>
      <scheme val="minor"/>
    </font>
    <font>
      <sz val="14"/>
      <name val="RobotoMono Nerd Font"/>
      <family val="3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4" fillId="7" borderId="0" xfId="0" applyFont="1" applyFill="1"/>
    <xf numFmtId="0" fontId="4" fillId="4" borderId="0" xfId="0" applyFont="1" applyFill="1"/>
    <xf numFmtId="0" fontId="5" fillId="0" borderId="0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44" fontId="0" fillId="0" borderId="0" xfId="2" applyFont="1"/>
    <xf numFmtId="0" fontId="6" fillId="4" borderId="0" xfId="0" applyFont="1" applyFill="1" applyAlignment="1">
      <alignment horizontal="center" vertical="center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color auto="1"/>
      </font>
      <border>
        <bottom style="thin">
          <color theme="9"/>
        </bottom>
        <vertical/>
        <horizontal/>
      </border>
    </dxf>
    <dxf>
      <font>
        <color theme="1"/>
        <name val="RobotoMono Nerd Font"/>
        <family val="3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A54922C-0D40-4714-995B-7061F453F8BD}">
      <tableStyleElement type="wholeTable" dxfId="1"/>
      <tableStyleElement type="headerRow" dxfId="0"/>
    </tableStyle>
  </tableStyles>
  <colors>
    <mruColors>
      <color rgb="FF22C55E"/>
      <color rgb="FF9BC848"/>
      <color rgb="FF5BF6A8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[805d54f9-6d53-4246-bed7-4aa2da615923.xlsx]C̳álculos!TblAnnualTotal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RobotoMono Nerd Font" panose="02000009000000000000" pitchFamily="49" charset="0"/>
                  <a:ea typeface="RobotoMono Nerd Font" panose="02000009000000000000" pitchFamily="49" charset="0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985997179266757E-2"/>
          <c:y val="0.18855565844946706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RobotoMono Nerd Font" panose="02000009000000000000" pitchFamily="49" charset="0"/>
                    <a:ea typeface="RobotoMono Nerd Font" panose="02000009000000000000" pitchFamily="49" charset="0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A-4706-8B23-C93D82CB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351199"/>
        <c:axId val="852349279"/>
      </c:barChart>
      <c:catAx>
        <c:axId val="8523511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2349279"/>
        <c:crosses val="autoZero"/>
        <c:auto val="1"/>
        <c:lblAlgn val="ctr"/>
        <c:lblOffset val="100"/>
        <c:noMultiLvlLbl val="0"/>
      </c:catAx>
      <c:valAx>
        <c:axId val="852349279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235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35719</xdr:colOff>
      <xdr:row>0</xdr:row>
      <xdr:rowOff>0</xdr:rowOff>
    </xdr:from>
    <xdr:to>
      <xdr:col>2</xdr:col>
      <xdr:colOff>369095</xdr:colOff>
      <xdr:row>2</xdr:row>
      <xdr:rowOff>203893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4BF29B-5660-4019-92FE-050472BC2B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8" t="23295" r="74011" b="26622"/>
        <a:stretch>
          <a:fillRect/>
        </a:stretch>
      </xdr:blipFill>
      <xdr:spPr>
        <a:xfrm>
          <a:off x="2155032" y="0"/>
          <a:ext cx="654844" cy="70395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158182</xdr:rowOff>
    </xdr:from>
    <xdr:to>
      <xdr:col>0</xdr:col>
      <xdr:colOff>2083594</xdr:colOff>
      <xdr:row>19</xdr:row>
      <xdr:rowOff>179615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D9EB18EE-1AF0-40B6-87D1-BEC32AD832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2039"/>
              <a:ext cx="2083594" cy="27156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247678</xdr:colOff>
      <xdr:row>7</xdr:row>
      <xdr:rowOff>410253</xdr:rowOff>
    </xdr:from>
    <xdr:to>
      <xdr:col>15</xdr:col>
      <xdr:colOff>250031</xdr:colOff>
      <xdr:row>17</xdr:row>
      <xdr:rowOff>127907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97F06155-E031-4E6E-B7F6-27C2F8D6866E}"/>
            </a:ext>
          </a:extLst>
        </xdr:cNvPr>
        <xdr:cNvGrpSpPr/>
      </xdr:nvGrpSpPr>
      <xdr:grpSpPr>
        <a:xfrm>
          <a:off x="2356785" y="2002289"/>
          <a:ext cx="7894496" cy="2343832"/>
          <a:chOff x="2488406" y="928687"/>
          <a:chExt cx="8524875" cy="2286001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F0EDE3AE-B77E-D4C3-568D-4F7BCE97AC41}"/>
              </a:ext>
            </a:extLst>
          </xdr:cNvPr>
          <xdr:cNvSpPr/>
        </xdr:nvSpPr>
        <xdr:spPr>
          <a:xfrm>
            <a:off x="2494359" y="928687"/>
            <a:ext cx="8512968" cy="2286001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4800" i="0">
                <a:latin typeface="RobotoMono Nerd Font" panose="02000009000000000000" pitchFamily="49" charset="0"/>
                <a:ea typeface="RobotoMono Nerd Font" panose="02000009000000000000" pitchFamily="49" charset="0"/>
                <a:cs typeface="Roboto" panose="02000000000000000000" pitchFamily="2" charset="0"/>
              </a:rPr>
              <a:t> R$ 990,00 </a:t>
            </a:r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C79BB153-D8E8-BCC6-1708-C65F0EF613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70671" y="1250154"/>
            <a:ext cx="1893094" cy="1893094"/>
          </a:xfrm>
          <a:prstGeom prst="rect">
            <a:avLst/>
          </a:prstGeom>
        </xdr:spPr>
      </xdr:pic>
      <xdr:sp macro="" textlink="C̳álculos!E23">
        <xdr:nvSpPr>
          <xdr:cNvPr id="19" name="CaixaDeTexto 18">
            <a:extLst>
              <a:ext uri="{FF2B5EF4-FFF2-40B4-BE49-F238E27FC236}">
                <a16:creationId xmlns:a16="http://schemas.microsoft.com/office/drawing/2014/main" id="{FB96D711-C031-EDE9-E1FF-C896CC609AC0}"/>
              </a:ext>
            </a:extLst>
          </xdr:cNvPr>
          <xdr:cNvSpPr txBox="1"/>
        </xdr:nvSpPr>
        <xdr:spPr>
          <a:xfrm>
            <a:off x="5334001" y="1684732"/>
            <a:ext cx="5666329" cy="1023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0778B403-D638-437F-9DAE-B776E4D49DED}" type="TxLink">
              <a:rPr lang="en-US" sz="4000" b="0" i="0" u="none" strike="noStrike">
                <a:solidFill>
                  <a:srgbClr val="22C55E"/>
                </a:solidFill>
                <a:latin typeface="RobotoMono Nerd Font" panose="02000009000000000000" pitchFamily="49" charset="0"/>
                <a:ea typeface="RobotoMono Nerd Font" panose="02000009000000000000" pitchFamily="49" charset="0"/>
              </a:rPr>
              <a:pPr algn="l"/>
              <a:t> R$ 990,00 </a:t>
            </a:fld>
            <a:endParaRPr lang="pt-BR" sz="4000">
              <a:solidFill>
                <a:srgbClr val="22C55E"/>
              </a:solidFill>
              <a:latin typeface="RobotoMono Nerd Font" panose="02000009000000000000" pitchFamily="49" charset="0"/>
              <a:ea typeface="RobotoMono Nerd Font" panose="02000009000000000000" pitchFamily="49" charset="0"/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C947DF80-D2AD-84B7-CC53-D229ACC9E3A1}"/>
              </a:ext>
            </a:extLst>
          </xdr:cNvPr>
          <xdr:cNvSpPr/>
        </xdr:nvSpPr>
        <xdr:spPr>
          <a:xfrm>
            <a:off x="2488406" y="928687"/>
            <a:ext cx="8524875" cy="4543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16</xdr:col>
      <xdr:colOff>602514</xdr:colOff>
      <xdr:row>8</xdr:row>
      <xdr:rowOff>24151</xdr:rowOff>
    </xdr:from>
    <xdr:to>
      <xdr:col>29</xdr:col>
      <xdr:colOff>545335</xdr:colOff>
      <xdr:row>17</xdr:row>
      <xdr:rowOff>163626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2050D397-15AB-2726-CEE7-124314AB6DDE}"/>
            </a:ext>
          </a:extLst>
        </xdr:cNvPr>
        <xdr:cNvGrpSpPr/>
      </xdr:nvGrpSpPr>
      <xdr:grpSpPr>
        <a:xfrm>
          <a:off x="11216085" y="2038008"/>
          <a:ext cx="7903000" cy="2343832"/>
          <a:chOff x="11163358" y="1054893"/>
          <a:chExt cx="7836665" cy="2286001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07BCCBCA-1352-40A7-92FD-885260C21A24}"/>
              </a:ext>
            </a:extLst>
          </xdr:cNvPr>
          <xdr:cNvGrpSpPr/>
        </xdr:nvGrpSpPr>
        <xdr:grpSpPr>
          <a:xfrm>
            <a:off x="11163358" y="1054893"/>
            <a:ext cx="7836665" cy="2286001"/>
            <a:chOff x="2488406" y="928687"/>
            <a:chExt cx="8524875" cy="2286001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7CBBF063-C683-100D-E750-5BBE7171DA72}"/>
                </a:ext>
              </a:extLst>
            </xdr:cNvPr>
            <xdr:cNvSpPr/>
          </xdr:nvSpPr>
          <xdr:spPr>
            <a:xfrm>
              <a:off x="2494359" y="928687"/>
              <a:ext cx="8512968" cy="2286001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800" i="0">
                  <a:latin typeface="RobotoMono Nerd Font" panose="02000009000000000000" pitchFamily="49" charset="0"/>
                  <a:ea typeface="RobotoMono Nerd Font" panose="02000009000000000000" pitchFamily="49" charset="0"/>
                  <a:cs typeface="Roboto" panose="02000000000000000000" pitchFamily="2" charset="0"/>
                </a:rPr>
                <a:t> R$ 990,00 </a:t>
              </a:r>
            </a:p>
          </xdr:txBody>
        </xdr:sp>
        <xdr:sp macro="" textlink="C̳álculos!E23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5F51F089-A058-CF4C-DB12-25CA47083774}"/>
                </a:ext>
              </a:extLst>
            </xdr:cNvPr>
            <xdr:cNvSpPr txBox="1"/>
          </xdr:nvSpPr>
          <xdr:spPr>
            <a:xfrm>
              <a:off x="5334001" y="1684732"/>
              <a:ext cx="5630031" cy="102393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fld id="{0778B403-D638-437F-9DAE-B776E4D49DED}" type="TxLink">
                <a:rPr lang="en-US" sz="4000" b="0" i="0" u="none" strike="noStrike">
                  <a:solidFill>
                    <a:srgbClr val="22C55E"/>
                  </a:solidFill>
                  <a:latin typeface="RobotoMono Nerd Font" panose="02000009000000000000" pitchFamily="49" charset="0"/>
                  <a:ea typeface="RobotoMono Nerd Font" panose="02000009000000000000" pitchFamily="49" charset="0"/>
                </a:rPr>
                <a:pPr algn="l"/>
                <a:t> R$ 990,00 </a:t>
              </a:fld>
              <a:endParaRPr lang="pt-BR" sz="4000">
                <a:solidFill>
                  <a:srgbClr val="22C55E"/>
                </a:solidFill>
                <a:latin typeface="RobotoMono Nerd Font" panose="02000009000000000000" pitchFamily="49" charset="0"/>
                <a:ea typeface="RobotoMono Nerd Font" panose="02000009000000000000" pitchFamily="49" charset="0"/>
              </a:endParaRPr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0BB66730-56B3-4807-8578-D4499569A497}"/>
                </a:ext>
              </a:extLst>
            </xdr:cNvPr>
            <xdr:cNvSpPr/>
          </xdr:nvSpPr>
          <xdr:spPr>
            <a:xfrm>
              <a:off x="2488406" y="928687"/>
              <a:ext cx="8524875" cy="45439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A929FBDD-14D0-4A39-A7C6-5A587B759257}"/>
              </a:ext>
            </a:extLst>
          </xdr:cNvPr>
          <xdr:cNvGrpSpPr/>
        </xdr:nvGrpSpPr>
        <xdr:grpSpPr>
          <a:xfrm>
            <a:off x="12199201" y="1924049"/>
            <a:ext cx="1549476" cy="752476"/>
            <a:chOff x="3495675" y="5400674"/>
            <a:chExt cx="1549476" cy="752476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90FA83DD-0CD2-EC9B-5C59-F80813275E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9C705D27-665C-DABA-300D-9831164352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257234</xdr:colOff>
      <xdr:row>19</xdr:row>
      <xdr:rowOff>180295</xdr:rowOff>
    </xdr:from>
    <xdr:to>
      <xdr:col>29</xdr:col>
      <xdr:colOff>571501</xdr:colOff>
      <xdr:row>37</xdr:row>
      <xdr:rowOff>192201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7B50E148-A236-9B03-C0D3-86ABE69E99A3}"/>
            </a:ext>
          </a:extLst>
        </xdr:cNvPr>
        <xdr:cNvGrpSpPr/>
      </xdr:nvGrpSpPr>
      <xdr:grpSpPr>
        <a:xfrm>
          <a:off x="2366341" y="4888366"/>
          <a:ext cx="16778910" cy="4420621"/>
          <a:chOff x="2376547" y="3833813"/>
          <a:chExt cx="16649642" cy="4298156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DEDB974C-D951-AD96-FAAC-F81A56170F93}"/>
              </a:ext>
            </a:extLst>
          </xdr:cNvPr>
          <xdr:cNvGrpSpPr/>
        </xdr:nvGrpSpPr>
        <xdr:grpSpPr>
          <a:xfrm>
            <a:off x="2378897" y="3869531"/>
            <a:ext cx="16621126" cy="4262438"/>
            <a:chOff x="2119311" y="1071562"/>
            <a:chExt cx="11953875" cy="426243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42C9D9BA-D51B-EAB7-7FD6-217FF4091CDB}"/>
                </a:ext>
              </a:extLst>
            </xdr:cNvPr>
            <xdr:cNvSpPr/>
          </xdr:nvSpPr>
          <xdr:spPr>
            <a:xfrm>
              <a:off x="2119311" y="1071562"/>
              <a:ext cx="11953875" cy="42624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i="0">
                <a:solidFill>
                  <a:srgbClr val="FF0000"/>
                </a:solidFill>
              </a:endParaRPr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17F7FD2-D141-42B1-87D1-CE6C9E718F38}"/>
                </a:ext>
              </a:extLst>
            </xdr:cNvPr>
            <xdr:cNvGraphicFramePr>
              <a:graphicFrameLocks/>
            </xdr:cNvGraphicFramePr>
          </xdr:nvGraphicFramePr>
          <xdr:xfrm>
            <a:off x="2550320" y="1369217"/>
            <a:ext cx="11327611" cy="37028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B5DC91DE-3F10-4A81-AD23-E1EBB48AD7DB}"/>
              </a:ext>
            </a:extLst>
          </xdr:cNvPr>
          <xdr:cNvSpPr/>
        </xdr:nvSpPr>
        <xdr:spPr>
          <a:xfrm>
            <a:off x="2376547" y="3833813"/>
            <a:ext cx="16649642" cy="6858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610791</xdr:colOff>
      <xdr:row>0</xdr:row>
      <xdr:rowOff>226220</xdr:rowOff>
    </xdr:from>
    <xdr:to>
      <xdr:col>0</xdr:col>
      <xdr:colOff>1472803</xdr:colOff>
      <xdr:row>5</xdr:row>
      <xdr:rowOff>16669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9C397EB9-E0A8-4BC6-9BCF-7BF5EB98ED9E}"/>
            </a:ext>
          </a:extLst>
        </xdr:cNvPr>
        <xdr:cNvSpPr/>
      </xdr:nvSpPr>
      <xdr:spPr>
        <a:xfrm>
          <a:off x="610791" y="226220"/>
          <a:ext cx="862012" cy="8790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Davi" refreshedDate="46068.914821064813" createdVersion="8" refreshedVersion="8" minRefreshableVersion="3" recordCount="295" xr:uid="{8E0216B4-DFDC-48D5-91DD-9C02E87BCC7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880152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C1CFB-50DE-4AD0-924F-4513650AD880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 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66E5F-FF52-4923-8334-4C7E91FC7607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 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6C997-8BCB-42A0-B201-0FA127C6CD57}" name="TblAnnual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D4BBB15-2A74-4685-BB33-0F8570029417}" sourceName="Subscription Type">
  <pivotTables>
    <pivotTable tabId="3" name="TblAnnualTotal"/>
    <pivotTable tabId="3" name="Tabela dinâmica2"/>
    <pivotTable tabId="3" name="Tabela dinâmica3"/>
  </pivotTables>
  <data>
    <tabular pivotCacheId="38801524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3194D27-C021-4D59-9F00-1B847A78F96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B1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316</v>
      </c>
      <c r="C5" t="s">
        <v>3</v>
      </c>
      <c r="E5" s="7" t="s">
        <v>318</v>
      </c>
      <c r="F5" t="s">
        <v>2</v>
      </c>
    </row>
    <row r="6" spans="2:16" x14ac:dyDescent="0.25">
      <c r="B6" s="4" t="s">
        <v>317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2"/>
  <sheetViews>
    <sheetView showGridLines="0" topLeftCell="A7" workbookViewId="0">
      <selection activeCell="A19" sqref="A19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26.28515625" bestFit="1" customWidth="1"/>
    <col min="5" max="5" width="12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t="s">
        <v>308</v>
      </c>
    </row>
    <row r="7" spans="2:3" x14ac:dyDescent="0.25">
      <c r="B7" t="s">
        <v>313</v>
      </c>
    </row>
    <row r="8" spans="2:3" x14ac:dyDescent="0.25">
      <c r="B8" s="13" t="s">
        <v>11</v>
      </c>
      <c r="C8" t="s">
        <v>309</v>
      </c>
    </row>
    <row r="10" spans="2:3" x14ac:dyDescent="0.25">
      <c r="B10" s="13" t="s">
        <v>310</v>
      </c>
      <c r="C10" t="s">
        <v>312</v>
      </c>
    </row>
    <row r="11" spans="2:3" x14ac:dyDescent="0.25">
      <c r="B11" s="14" t="s">
        <v>18</v>
      </c>
      <c r="C11" s="15">
        <v>3847</v>
      </c>
    </row>
    <row r="12" spans="2:3" x14ac:dyDescent="0.25">
      <c r="B12" s="14" t="s">
        <v>14</v>
      </c>
      <c r="C12" s="15">
        <v>3786</v>
      </c>
    </row>
    <row r="13" spans="2:3" x14ac:dyDescent="0.25">
      <c r="B13" s="14" t="s">
        <v>311</v>
      </c>
      <c r="C13" s="15">
        <v>7633</v>
      </c>
    </row>
    <row r="15" spans="2:3" x14ac:dyDescent="0.25">
      <c r="B15" s="14" t="s">
        <v>320</v>
      </c>
    </row>
    <row r="17" spans="2:5" x14ac:dyDescent="0.25">
      <c r="B17" s="13" t="s">
        <v>11</v>
      </c>
      <c r="C17" t="s">
        <v>309</v>
      </c>
    </row>
    <row r="19" spans="2:5" x14ac:dyDescent="0.25">
      <c r="B19" s="13" t="s">
        <v>322</v>
      </c>
      <c r="C19" t="s">
        <v>321</v>
      </c>
    </row>
    <row r="20" spans="2:5" x14ac:dyDescent="0.25">
      <c r="B20" s="14" t="s">
        <v>17</v>
      </c>
      <c r="C20" s="16">
        <v>0</v>
      </c>
    </row>
    <row r="21" spans="2:5" x14ac:dyDescent="0.25">
      <c r="B21" s="14" t="s">
        <v>21</v>
      </c>
      <c r="C21" s="16">
        <v>0</v>
      </c>
    </row>
    <row r="22" spans="2:5" x14ac:dyDescent="0.25">
      <c r="B22" s="14" t="s">
        <v>13</v>
      </c>
      <c r="C22" s="16">
        <v>2940</v>
      </c>
    </row>
    <row r="23" spans="2:5" x14ac:dyDescent="0.25">
      <c r="B23" s="14" t="s">
        <v>311</v>
      </c>
      <c r="C23" s="16">
        <v>2940</v>
      </c>
      <c r="E23" s="15">
        <f>GETPIVOTDATA("EA Play Season Pass
Price",$B$19)</f>
        <v>2940</v>
      </c>
    </row>
    <row r="26" spans="2:5" x14ac:dyDescent="0.25">
      <c r="B26" s="13" t="s">
        <v>11</v>
      </c>
      <c r="C26" t="s">
        <v>309</v>
      </c>
    </row>
    <row r="28" spans="2:5" x14ac:dyDescent="0.25">
      <c r="B28" s="13" t="s">
        <v>322</v>
      </c>
      <c r="C28" t="s">
        <v>323</v>
      </c>
    </row>
    <row r="29" spans="2:5" x14ac:dyDescent="0.25">
      <c r="B29" s="14" t="s">
        <v>17</v>
      </c>
      <c r="C29" s="15">
        <v>0</v>
      </c>
    </row>
    <row r="30" spans="2:5" x14ac:dyDescent="0.25">
      <c r="B30" s="14" t="s">
        <v>21</v>
      </c>
      <c r="C30" s="15">
        <v>1920</v>
      </c>
    </row>
    <row r="31" spans="2:5" x14ac:dyDescent="0.25">
      <c r="B31" s="14" t="s">
        <v>13</v>
      </c>
      <c r="C31" s="15">
        <v>1960</v>
      </c>
    </row>
    <row r="32" spans="2:5" x14ac:dyDescent="0.25">
      <c r="B32" s="14" t="s">
        <v>311</v>
      </c>
      <c r="C32" s="15">
        <v>3880</v>
      </c>
      <c r="E32" s="21">
        <f>GETPIVOTDATA("Minecraft Season Pass Price",$B$28)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D136"/>
  <sheetViews>
    <sheetView showGridLines="0" tabSelected="1" zoomScale="70" zoomScaleNormal="70" workbookViewId="0">
      <selection activeCell="H7" sqref="H7"/>
    </sheetView>
  </sheetViews>
  <sheetFormatPr defaultRowHeight="18.75" x14ac:dyDescent="0.3"/>
  <cols>
    <col min="1" max="1" width="31.7109375" style="18" customWidth="1"/>
    <col min="2" max="2" width="4.85546875" style="12" customWidth="1"/>
    <col min="3" max="3" width="5.85546875" style="12" customWidth="1"/>
    <col min="4" max="11" width="9.140625" style="12"/>
    <col min="12" max="12" width="6.5703125" style="12" customWidth="1"/>
    <col min="13" max="16384" width="9.140625" style="12"/>
  </cols>
  <sheetData>
    <row r="1" spans="1:30" ht="18.75" customHeight="1" x14ac:dyDescent="0.3">
      <c r="B1"/>
      <c r="C1"/>
      <c r="D1" s="19" t="s">
        <v>319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20.25" customHeight="1" thickBot="1" x14ac:dyDescent="0.35">
      <c r="B2"/>
      <c r="C2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8.75" customHeight="1" thickTop="1" x14ac:dyDescent="0.3">
      <c r="B3"/>
      <c r="C3"/>
    </row>
    <row r="4" spans="1:30" s="17" customFormat="1" x14ac:dyDescent="0.3">
      <c r="A4" s="18"/>
    </row>
    <row r="5" spans="1:30" s="17" customFormat="1" ht="7.5" customHeight="1" x14ac:dyDescent="0.3">
      <c r="A5" s="18"/>
    </row>
    <row r="6" spans="1:30" s="17" customFormat="1" x14ac:dyDescent="0.3">
      <c r="A6" s="18"/>
      <c r="C6" s="17" t="s">
        <v>325</v>
      </c>
    </row>
    <row r="7" spans="1:30" s="17" customFormat="1" ht="20.25" x14ac:dyDescent="0.3">
      <c r="A7" s="22" t="s">
        <v>324</v>
      </c>
      <c r="H7" s="23"/>
    </row>
    <row r="8" spans="1:30" s="17" customFormat="1" ht="33" customHeight="1" x14ac:dyDescent="0.3">
      <c r="A8" s="18"/>
    </row>
    <row r="9" spans="1:30" s="17" customFormat="1" x14ac:dyDescent="0.3">
      <c r="A9" s="18"/>
    </row>
    <row r="10" spans="1:30" s="17" customFormat="1" x14ac:dyDescent="0.3">
      <c r="A10" s="18"/>
    </row>
    <row r="11" spans="1:30" s="17" customFormat="1" x14ac:dyDescent="0.3">
      <c r="A11" s="18"/>
    </row>
    <row r="12" spans="1:30" s="17" customFormat="1" x14ac:dyDescent="0.3">
      <c r="A12" s="18"/>
    </row>
    <row r="13" spans="1:30" s="17" customFormat="1" x14ac:dyDescent="0.3">
      <c r="A13" s="18"/>
    </row>
    <row r="14" spans="1:30" s="17" customFormat="1" x14ac:dyDescent="0.3">
      <c r="A14" s="18"/>
    </row>
    <row r="15" spans="1:30" s="17" customFormat="1" x14ac:dyDescent="0.3">
      <c r="A15" s="18"/>
    </row>
    <row r="16" spans="1:30" s="17" customFormat="1" x14ac:dyDescent="0.3">
      <c r="A16" s="18"/>
    </row>
    <row r="17" spans="1:1" s="17" customFormat="1" x14ac:dyDescent="0.3">
      <c r="A17" s="18"/>
    </row>
    <row r="18" spans="1:1" s="17" customFormat="1" x14ac:dyDescent="0.3">
      <c r="A18" s="18"/>
    </row>
    <row r="19" spans="1:1" s="17" customFormat="1" x14ac:dyDescent="0.3">
      <c r="A19" s="18"/>
    </row>
    <row r="20" spans="1:1" s="17" customFormat="1" x14ac:dyDescent="0.3">
      <c r="A20" s="18"/>
    </row>
    <row r="21" spans="1:1" s="17" customFormat="1" x14ac:dyDescent="0.3">
      <c r="A21" s="18"/>
    </row>
    <row r="22" spans="1:1" s="17" customFormat="1" x14ac:dyDescent="0.3">
      <c r="A22" s="18"/>
    </row>
    <row r="23" spans="1:1" s="17" customFormat="1" x14ac:dyDescent="0.3">
      <c r="A23" s="18"/>
    </row>
    <row r="24" spans="1:1" s="17" customFormat="1" x14ac:dyDescent="0.3">
      <c r="A24" s="18"/>
    </row>
    <row r="25" spans="1:1" s="17" customFormat="1" x14ac:dyDescent="0.3">
      <c r="A25" s="18"/>
    </row>
    <row r="26" spans="1:1" s="17" customFormat="1" x14ac:dyDescent="0.3">
      <c r="A26" s="18"/>
    </row>
    <row r="27" spans="1:1" s="17" customFormat="1" x14ac:dyDescent="0.3">
      <c r="A27" s="18"/>
    </row>
    <row r="28" spans="1:1" s="17" customFormat="1" x14ac:dyDescent="0.3">
      <c r="A28" s="18"/>
    </row>
    <row r="29" spans="1:1" s="17" customFormat="1" x14ac:dyDescent="0.3">
      <c r="A29" s="18"/>
    </row>
    <row r="30" spans="1:1" s="17" customFormat="1" x14ac:dyDescent="0.3">
      <c r="A30" s="18"/>
    </row>
    <row r="31" spans="1:1" s="17" customFormat="1" x14ac:dyDescent="0.3">
      <c r="A31" s="18"/>
    </row>
    <row r="32" spans="1:1" s="17" customFormat="1" x14ac:dyDescent="0.3">
      <c r="A32" s="18"/>
    </row>
    <row r="33" spans="1:1" s="17" customFormat="1" x14ac:dyDescent="0.3">
      <c r="A33" s="18"/>
    </row>
    <row r="34" spans="1:1" s="17" customFormat="1" x14ac:dyDescent="0.3">
      <c r="A34" s="18"/>
    </row>
    <row r="35" spans="1:1" s="17" customFormat="1" x14ac:dyDescent="0.3">
      <c r="A35" s="18"/>
    </row>
    <row r="36" spans="1:1" s="17" customFormat="1" x14ac:dyDescent="0.3">
      <c r="A36" s="18"/>
    </row>
    <row r="37" spans="1:1" s="17" customFormat="1" x14ac:dyDescent="0.3">
      <c r="A37" s="18"/>
    </row>
    <row r="38" spans="1:1" s="17" customFormat="1" x14ac:dyDescent="0.3">
      <c r="A38" s="18"/>
    </row>
    <row r="39" spans="1:1" s="17" customFormat="1" x14ac:dyDescent="0.3">
      <c r="A39" s="18"/>
    </row>
    <row r="40" spans="1:1" s="17" customFormat="1" x14ac:dyDescent="0.3">
      <c r="A40" s="18"/>
    </row>
    <row r="41" spans="1:1" s="17" customFormat="1" x14ac:dyDescent="0.3">
      <c r="A41" s="18"/>
    </row>
    <row r="42" spans="1:1" s="17" customFormat="1" x14ac:dyDescent="0.3">
      <c r="A42" s="18"/>
    </row>
    <row r="43" spans="1:1" s="17" customFormat="1" x14ac:dyDescent="0.3">
      <c r="A43" s="18"/>
    </row>
    <row r="44" spans="1:1" s="17" customFormat="1" x14ac:dyDescent="0.3">
      <c r="A44" s="18"/>
    </row>
    <row r="45" spans="1:1" s="17" customFormat="1" x14ac:dyDescent="0.3">
      <c r="A45" s="18"/>
    </row>
    <row r="46" spans="1:1" s="17" customFormat="1" x14ac:dyDescent="0.3">
      <c r="A46" s="18"/>
    </row>
    <row r="47" spans="1:1" s="17" customFormat="1" x14ac:dyDescent="0.3">
      <c r="A47" s="18"/>
    </row>
    <row r="48" spans="1:1" s="17" customFormat="1" x14ac:dyDescent="0.3">
      <c r="A48" s="18"/>
    </row>
    <row r="49" spans="1:1" s="17" customFormat="1" x14ac:dyDescent="0.3">
      <c r="A49" s="18"/>
    </row>
    <row r="50" spans="1:1" s="17" customFormat="1" x14ac:dyDescent="0.3">
      <c r="A50" s="18"/>
    </row>
    <row r="51" spans="1:1" s="17" customFormat="1" x14ac:dyDescent="0.3">
      <c r="A51" s="18"/>
    </row>
    <row r="52" spans="1:1" s="17" customFormat="1" x14ac:dyDescent="0.3">
      <c r="A52" s="18"/>
    </row>
    <row r="53" spans="1:1" s="17" customFormat="1" x14ac:dyDescent="0.3">
      <c r="A53" s="18"/>
    </row>
    <row r="54" spans="1:1" s="17" customFormat="1" x14ac:dyDescent="0.3">
      <c r="A54" s="18"/>
    </row>
    <row r="55" spans="1:1" s="17" customFormat="1" x14ac:dyDescent="0.3">
      <c r="A55" s="18"/>
    </row>
    <row r="56" spans="1:1" s="17" customFormat="1" x14ac:dyDescent="0.3">
      <c r="A56" s="18"/>
    </row>
    <row r="57" spans="1:1" s="17" customFormat="1" x14ac:dyDescent="0.3">
      <c r="A57" s="18"/>
    </row>
    <row r="58" spans="1:1" s="17" customFormat="1" x14ac:dyDescent="0.3">
      <c r="A58" s="18"/>
    </row>
    <row r="59" spans="1:1" s="17" customFormat="1" x14ac:dyDescent="0.3">
      <c r="A59" s="18"/>
    </row>
    <row r="60" spans="1:1" s="17" customFormat="1" x14ac:dyDescent="0.3">
      <c r="A60" s="18"/>
    </row>
    <row r="61" spans="1:1" s="17" customFormat="1" x14ac:dyDescent="0.3">
      <c r="A61" s="18"/>
    </row>
    <row r="62" spans="1:1" s="17" customFormat="1" x14ac:dyDescent="0.3">
      <c r="A62" s="18"/>
    </row>
    <row r="63" spans="1:1" s="17" customFormat="1" x14ac:dyDescent="0.3">
      <c r="A63" s="18"/>
    </row>
    <row r="64" spans="1:1" s="17" customFormat="1" x14ac:dyDescent="0.3">
      <c r="A64" s="18"/>
    </row>
    <row r="65" spans="1:1" s="17" customFormat="1" x14ac:dyDescent="0.3">
      <c r="A65" s="18"/>
    </row>
    <row r="66" spans="1:1" s="17" customFormat="1" x14ac:dyDescent="0.3">
      <c r="A66" s="18"/>
    </row>
    <row r="67" spans="1:1" s="17" customFormat="1" x14ac:dyDescent="0.3">
      <c r="A67" s="18"/>
    </row>
    <row r="68" spans="1:1" s="17" customFormat="1" x14ac:dyDescent="0.3">
      <c r="A68" s="18"/>
    </row>
    <row r="69" spans="1:1" s="17" customFormat="1" x14ac:dyDescent="0.3">
      <c r="A69" s="18"/>
    </row>
    <row r="70" spans="1:1" s="17" customFormat="1" x14ac:dyDescent="0.3">
      <c r="A70" s="18"/>
    </row>
    <row r="71" spans="1:1" s="17" customFormat="1" x14ac:dyDescent="0.3">
      <c r="A71" s="18"/>
    </row>
    <row r="72" spans="1:1" s="17" customFormat="1" x14ac:dyDescent="0.3">
      <c r="A72" s="18"/>
    </row>
    <row r="73" spans="1:1" s="17" customFormat="1" x14ac:dyDescent="0.3">
      <c r="A73" s="18"/>
    </row>
    <row r="74" spans="1:1" s="17" customFormat="1" x14ac:dyDescent="0.3">
      <c r="A74" s="18"/>
    </row>
    <row r="75" spans="1:1" s="17" customFormat="1" x14ac:dyDescent="0.3">
      <c r="A75" s="18"/>
    </row>
    <row r="76" spans="1:1" s="17" customFormat="1" x14ac:dyDescent="0.3">
      <c r="A76" s="18"/>
    </row>
    <row r="77" spans="1:1" s="17" customFormat="1" x14ac:dyDescent="0.3">
      <c r="A77" s="18"/>
    </row>
    <row r="78" spans="1:1" s="17" customFormat="1" x14ac:dyDescent="0.3">
      <c r="A78" s="18"/>
    </row>
    <row r="79" spans="1:1" s="17" customFormat="1" x14ac:dyDescent="0.3">
      <c r="A79" s="18"/>
    </row>
    <row r="80" spans="1:1" s="17" customFormat="1" x14ac:dyDescent="0.3">
      <c r="A80" s="18"/>
    </row>
    <row r="81" spans="1:1" s="17" customFormat="1" x14ac:dyDescent="0.3">
      <c r="A81" s="18"/>
    </row>
    <row r="82" spans="1:1" s="17" customFormat="1" x14ac:dyDescent="0.3">
      <c r="A82" s="18"/>
    </row>
    <row r="83" spans="1:1" s="17" customFormat="1" x14ac:dyDescent="0.3">
      <c r="A83" s="18"/>
    </row>
    <row r="84" spans="1:1" s="17" customFormat="1" x14ac:dyDescent="0.3">
      <c r="A84" s="18"/>
    </row>
    <row r="85" spans="1:1" s="17" customFormat="1" x14ac:dyDescent="0.3">
      <c r="A85" s="18"/>
    </row>
    <row r="86" spans="1:1" s="17" customFormat="1" x14ac:dyDescent="0.3">
      <c r="A86" s="18"/>
    </row>
    <row r="87" spans="1:1" s="17" customFormat="1" x14ac:dyDescent="0.3">
      <c r="A87" s="18"/>
    </row>
    <row r="88" spans="1:1" s="17" customFormat="1" x14ac:dyDescent="0.3">
      <c r="A88" s="18"/>
    </row>
    <row r="89" spans="1:1" s="17" customFormat="1" x14ac:dyDescent="0.3">
      <c r="A89" s="18"/>
    </row>
    <row r="90" spans="1:1" s="17" customFormat="1" x14ac:dyDescent="0.3">
      <c r="A90" s="18"/>
    </row>
    <row r="91" spans="1:1" s="17" customFormat="1" x14ac:dyDescent="0.3">
      <c r="A91" s="18"/>
    </row>
    <row r="92" spans="1:1" s="17" customFormat="1" x14ac:dyDescent="0.3">
      <c r="A92" s="18"/>
    </row>
    <row r="93" spans="1:1" s="17" customFormat="1" x14ac:dyDescent="0.3">
      <c r="A93" s="18"/>
    </row>
    <row r="94" spans="1:1" s="17" customFormat="1" x14ac:dyDescent="0.3">
      <c r="A94" s="18"/>
    </row>
    <row r="95" spans="1:1" s="17" customFormat="1" x14ac:dyDescent="0.3">
      <c r="A95" s="18"/>
    </row>
    <row r="96" spans="1:1" s="17" customFormat="1" x14ac:dyDescent="0.3">
      <c r="A96" s="18"/>
    </row>
    <row r="97" spans="1:1" s="17" customFormat="1" x14ac:dyDescent="0.3">
      <c r="A97" s="18"/>
    </row>
    <row r="98" spans="1:1" s="17" customFormat="1" x14ac:dyDescent="0.3">
      <c r="A98" s="18"/>
    </row>
    <row r="99" spans="1:1" s="17" customFormat="1" x14ac:dyDescent="0.3">
      <c r="A99" s="18"/>
    </row>
    <row r="100" spans="1:1" s="17" customFormat="1" x14ac:dyDescent="0.3">
      <c r="A100" s="18"/>
    </row>
    <row r="101" spans="1:1" s="17" customFormat="1" x14ac:dyDescent="0.3">
      <c r="A101" s="18"/>
    </row>
    <row r="102" spans="1:1" s="17" customFormat="1" x14ac:dyDescent="0.3">
      <c r="A102" s="18"/>
    </row>
    <row r="103" spans="1:1" s="17" customFormat="1" x14ac:dyDescent="0.3">
      <c r="A103" s="18"/>
    </row>
    <row r="104" spans="1:1" s="17" customFormat="1" x14ac:dyDescent="0.3">
      <c r="A104" s="18"/>
    </row>
    <row r="105" spans="1:1" s="17" customFormat="1" x14ac:dyDescent="0.3">
      <c r="A105" s="18"/>
    </row>
    <row r="106" spans="1:1" s="17" customFormat="1" x14ac:dyDescent="0.3">
      <c r="A106" s="18"/>
    </row>
    <row r="107" spans="1:1" s="17" customFormat="1" x14ac:dyDescent="0.3">
      <c r="A107" s="18"/>
    </row>
    <row r="108" spans="1:1" s="17" customFormat="1" x14ac:dyDescent="0.3">
      <c r="A108" s="18"/>
    </row>
    <row r="109" spans="1:1" s="17" customFormat="1" x14ac:dyDescent="0.3">
      <c r="A109" s="18"/>
    </row>
    <row r="110" spans="1:1" s="17" customFormat="1" x14ac:dyDescent="0.3">
      <c r="A110" s="18"/>
    </row>
    <row r="111" spans="1:1" s="17" customFormat="1" x14ac:dyDescent="0.3">
      <c r="A111" s="18"/>
    </row>
    <row r="112" spans="1:1" s="17" customFormat="1" x14ac:dyDescent="0.3">
      <c r="A112" s="18"/>
    </row>
    <row r="113" spans="1:1" s="17" customFormat="1" x14ac:dyDescent="0.3">
      <c r="A113" s="18"/>
    </row>
    <row r="114" spans="1:1" s="17" customFormat="1" x14ac:dyDescent="0.3">
      <c r="A114" s="18"/>
    </row>
    <row r="115" spans="1:1" s="17" customFormat="1" x14ac:dyDescent="0.3">
      <c r="A115" s="18"/>
    </row>
    <row r="116" spans="1:1" s="17" customFormat="1" x14ac:dyDescent="0.3">
      <c r="A116" s="18"/>
    </row>
    <row r="117" spans="1:1" s="17" customFormat="1" x14ac:dyDescent="0.3">
      <c r="A117" s="18"/>
    </row>
    <row r="118" spans="1:1" s="17" customFormat="1" x14ac:dyDescent="0.3">
      <c r="A118" s="18"/>
    </row>
    <row r="119" spans="1:1" s="17" customFormat="1" x14ac:dyDescent="0.3">
      <c r="A119" s="18"/>
    </row>
    <row r="120" spans="1:1" s="17" customFormat="1" x14ac:dyDescent="0.3">
      <c r="A120" s="18"/>
    </row>
    <row r="121" spans="1:1" s="17" customFormat="1" x14ac:dyDescent="0.3">
      <c r="A121" s="18"/>
    </row>
    <row r="122" spans="1:1" s="17" customFormat="1" x14ac:dyDescent="0.3">
      <c r="A122" s="18"/>
    </row>
    <row r="123" spans="1:1" s="17" customFormat="1" x14ac:dyDescent="0.3">
      <c r="A123" s="18"/>
    </row>
    <row r="124" spans="1:1" s="17" customFormat="1" x14ac:dyDescent="0.3">
      <c r="A124" s="18"/>
    </row>
    <row r="125" spans="1:1" s="17" customFormat="1" x14ac:dyDescent="0.3">
      <c r="A125" s="18"/>
    </row>
    <row r="126" spans="1:1" s="17" customFormat="1" x14ac:dyDescent="0.3">
      <c r="A126" s="18"/>
    </row>
    <row r="127" spans="1:1" s="17" customFormat="1" x14ac:dyDescent="0.3">
      <c r="A127" s="18"/>
    </row>
    <row r="128" spans="1:1" s="17" customFormat="1" x14ac:dyDescent="0.3">
      <c r="A128" s="18"/>
    </row>
    <row r="129" spans="1:1" s="17" customFormat="1" x14ac:dyDescent="0.3">
      <c r="A129" s="18"/>
    </row>
    <row r="130" spans="1:1" s="17" customFormat="1" x14ac:dyDescent="0.3">
      <c r="A130" s="18"/>
    </row>
    <row r="131" spans="1:1" s="17" customFormat="1" x14ac:dyDescent="0.3">
      <c r="A131" s="18"/>
    </row>
    <row r="132" spans="1:1" s="17" customFormat="1" x14ac:dyDescent="0.3">
      <c r="A132" s="18"/>
    </row>
    <row r="133" spans="1:1" s="17" customFormat="1" x14ac:dyDescent="0.3">
      <c r="A133" s="18"/>
    </row>
    <row r="134" spans="1:1" s="17" customFormat="1" x14ac:dyDescent="0.3">
      <c r="A134" s="18"/>
    </row>
    <row r="135" spans="1:1" s="17" customFormat="1" x14ac:dyDescent="0.3">
      <c r="A135" s="18"/>
    </row>
    <row r="136" spans="1:1" s="17" customFormat="1" x14ac:dyDescent="0.3">
      <c r="A136" s="18"/>
    </row>
  </sheetData>
  <mergeCells count="1">
    <mergeCell ref="D1:AD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Samuel Davi Prates dos Santos</cp:lastModifiedBy>
  <dcterms:created xsi:type="dcterms:W3CDTF">2024-12-19T13:13:10Z</dcterms:created>
  <dcterms:modified xsi:type="dcterms:W3CDTF">2026-02-16T02:10:06Z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